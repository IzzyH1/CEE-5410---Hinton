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osenberg\Work\USU\Classes\CEE6410\Fall2020\Lectures\"/>
    </mc:Choice>
  </mc:AlternateContent>
  <xr:revisionPtr revIDLastSave="0" documentId="13_ncr:1_{D519AAF3-BDAF-485A-93ED-F72291218E49}" xr6:coauthVersionLast="36" xr6:coauthVersionMax="36" xr10:uidLastSave="{00000000-0000-0000-0000-000000000000}"/>
  <bookViews>
    <workbookView xWindow="0" yWindow="0" windowWidth="19200" windowHeight="6350" activeTab="1" xr2:uid="{6EC947B5-33FE-400A-AE2E-65289433B99C}"/>
  </bookViews>
  <sheets>
    <sheet name="Example1" sheetId="1" r:id="rId1"/>
    <sheet name="Sensitivity Report Ex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1" l="1"/>
  <c r="I17" i="1"/>
  <c r="I15" i="1"/>
  <c r="G16" i="1"/>
  <c r="G17" i="1"/>
  <c r="G15" i="1"/>
  <c r="F17" i="1"/>
  <c r="F16" i="1"/>
  <c r="F15" i="1"/>
</calcChain>
</file>

<file path=xl/sharedStrings.xml><?xml version="1.0" encoding="utf-8"?>
<sst xmlns="http://schemas.openxmlformats.org/spreadsheetml/2006/main" count="63" uniqueCount="51">
  <si>
    <t>Linear Programming =&gt; Sensitivity Analysis</t>
  </si>
  <si>
    <t>LOWER</t>
  </si>
  <si>
    <t>LEVEL</t>
  </si>
  <si>
    <t>UPPER</t>
  </si>
  <si>
    <t>MARGINAL</t>
  </si>
  <si>
    <t>Water</t>
  </si>
  <si>
    <t>Land</t>
  </si>
  <si>
    <t>Labor</t>
  </si>
  <si>
    <t>-INF</t>
  </si>
  <si>
    <r>
      <t>(i)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Times New Roman"/>
        <family val="1"/>
      </rPr>
      <t>The right-hand value in the water availability constraint is decreased from 4,000,000 to 3,900,000 gallons?</t>
    </r>
  </si>
  <si>
    <r>
      <t>(ii)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Times New Roman"/>
        <family val="1"/>
      </rPr>
      <t>The right-hand value of the available planting area constraint is decreased from 12,000 to 11,900 sq ft?</t>
    </r>
  </si>
  <si>
    <r>
      <t>(iii)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Times New Roman"/>
        <family val="1"/>
      </rPr>
      <t>The right-hand value of the available labor constraint is decreased from 17,500 to 17,000 hours?</t>
    </r>
  </si>
  <si>
    <t>Constraint</t>
  </si>
  <si>
    <r>
      <t>Example 1.</t>
    </r>
    <r>
      <rPr>
        <b/>
        <sz val="12"/>
        <color theme="1"/>
        <rFont val="Times New Roman"/>
        <family val="1"/>
      </rPr>
      <t xml:space="preserve"> How will the objective function value in Tomato-Eggplant problem change if:</t>
    </r>
  </si>
  <si>
    <t>Solution</t>
  </si>
  <si>
    <t>2. Calculate change in right-hand side value for each constraint (column F)</t>
  </si>
  <si>
    <t>3. Multiply Marginal (shadow value, Column E) by Column F</t>
  </si>
  <si>
    <t>Change in RHS</t>
  </si>
  <si>
    <t>Change in Z ($)</t>
  </si>
  <si>
    <t>Slack (D-C)</t>
  </si>
  <si>
    <t>Complementary Slackness (E*I)</t>
  </si>
  <si>
    <t>1. Grab GAMS Output from Ex2-1Dual.lst from primal problem (columns A to E)</t>
  </si>
  <si>
    <t>Microsoft Excel 16.0 Sensitivity Report</t>
  </si>
  <si>
    <t>Worksheet: [ExcelSolverExamples.xlsx]Excel Solver-Example2</t>
  </si>
  <si>
    <t>Report Created: 9/9/2020 12:21:16 PM</t>
  </si>
  <si>
    <t>Variable Cells</t>
  </si>
  <si>
    <t>Final</t>
  </si>
  <si>
    <t>Reduced</t>
  </si>
  <si>
    <t>Objective</t>
  </si>
  <si>
    <t>Allowable</t>
  </si>
  <si>
    <t>Cell</t>
  </si>
  <si>
    <t>Name</t>
  </si>
  <si>
    <t>Value</t>
  </si>
  <si>
    <t>Cost</t>
  </si>
  <si>
    <t>Coefficient</t>
  </si>
  <si>
    <t>Increase</t>
  </si>
  <si>
    <t>Decrease</t>
  </si>
  <si>
    <t>$B$20</t>
  </si>
  <si>
    <t>Decision variable values (plants) Eggplant</t>
  </si>
  <si>
    <t>$C$20</t>
  </si>
  <si>
    <t>Decision variable values (plants) Tomato</t>
  </si>
  <si>
    <t>Constraints</t>
  </si>
  <si>
    <t>Shadow</t>
  </si>
  <si>
    <t>Price</t>
  </si>
  <si>
    <t>R.H. Side</t>
  </si>
  <si>
    <t>$D$17</t>
  </si>
  <si>
    <t>Water Constraint (gal/plant) Left-Hand Side Value</t>
  </si>
  <si>
    <t>$D$18</t>
  </si>
  <si>
    <t>Land constraint (sq ft/plant) Left-Hand Side Value</t>
  </si>
  <si>
    <t>$D$19</t>
  </si>
  <si>
    <t>Labor constraint (hrs/plant) Left-Hand Side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</si>
</sst>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9" formatCode="_(* #,##0_);_(* \(#,##0\);_(* &quot;-&quot;??_);_(@_)"/>
    <numFmt numFmtId="176" formatCode="&quot;$&quot;#,##0"/>
    <numFmt numFmtId="178" formatCode="_(* #,##0.000_);_(* \(#,##0.000\);_(* &quot;-&quot;??_);_(@_)"/>
    <numFmt numFmtId="179" formatCode="0E+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7" fillId="0" borderId="0" xfId="0" applyFont="1"/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quotePrefix="1" applyBorder="1"/>
    <xf numFmtId="11" fontId="0" fillId="0" borderId="1" xfId="0" applyNumberFormat="1" applyBorder="1"/>
    <xf numFmtId="169" fontId="0" fillId="0" borderId="1" xfId="1" applyNumberFormat="1" applyFont="1" applyBorder="1"/>
    <xf numFmtId="176" fontId="0" fillId="0" borderId="1" xfId="2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9" fontId="0" fillId="0" borderId="1" xfId="1" applyNumberFormat="1" applyFont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5" xfId="0" applyFill="1" applyBorder="1" applyAlignment="1"/>
    <xf numFmtId="169" fontId="0" fillId="0" borderId="4" xfId="1" applyNumberFormat="1" applyFont="1" applyFill="1" applyBorder="1" applyAlignment="1"/>
    <xf numFmtId="178" fontId="0" fillId="0" borderId="4" xfId="1" applyNumberFormat="1" applyFont="1" applyFill="1" applyBorder="1" applyAlignment="1"/>
    <xf numFmtId="169" fontId="0" fillId="0" borderId="5" xfId="1" applyNumberFormat="1" applyFont="1" applyFill="1" applyBorder="1" applyAlignment="1"/>
    <xf numFmtId="178" fontId="0" fillId="0" borderId="5" xfId="1" applyNumberFormat="1" applyFont="1" applyFill="1" applyBorder="1" applyAlignment="1"/>
    <xf numFmtId="179" fontId="0" fillId="0" borderId="5" xfId="1" applyNumberFormat="1" applyFont="1" applyFill="1" applyBorder="1" applyAlignme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621706</xdr:colOff>
      <xdr:row>17</xdr:row>
      <xdr:rowOff>68792</xdr:rowOff>
    </xdr:from>
    <xdr:to>
      <xdr:col>7</xdr:col>
      <xdr:colOff>372174</xdr:colOff>
      <xdr:row>33</xdr:row>
      <xdr:rowOff>10881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252DB7-9249-4DDC-9288-7FC545091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9556" y="3199342"/>
          <a:ext cx="5268618" cy="2840864"/>
        </a:xfrm>
        <a:prstGeom prst="rect">
          <a:avLst/>
        </a:prstGeom>
      </xdr:spPr>
    </xdr:pic>
    <xdr:clientData/>
  </xdr:twoCellAnchor>
  <xdr:twoCellAnchor>
    <xdr:from>
      <xdr:col>2</xdr:col>
      <xdr:colOff>2625726</xdr:colOff>
      <xdr:row>24</xdr:row>
      <xdr:rowOff>92854</xdr:rowOff>
    </xdr:from>
    <xdr:to>
      <xdr:col>7</xdr:col>
      <xdr:colOff>11642</xdr:colOff>
      <xdr:row>30</xdr:row>
      <xdr:rowOff>141815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0165AB0-E926-4BB9-8E64-07A7368203B5}"/>
            </a:ext>
          </a:extLst>
        </xdr:cNvPr>
        <xdr:cNvGrpSpPr/>
      </xdr:nvGrpSpPr>
      <xdr:grpSpPr>
        <a:xfrm>
          <a:off x="3207809" y="4474354"/>
          <a:ext cx="2896658" cy="1131636"/>
          <a:chOff x="3198284" y="3375856"/>
          <a:chExt cx="2887133" cy="1109361"/>
        </a:xfrm>
      </xdr:grpSpPr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98625526-4EA0-480E-89A5-478E5C09BB0D}"/>
              </a:ext>
            </a:extLst>
          </xdr:cNvPr>
          <xdr:cNvCxnSpPr/>
        </xdr:nvCxnSpPr>
        <xdr:spPr>
          <a:xfrm>
            <a:off x="3198284" y="3384550"/>
            <a:ext cx="2887133" cy="1100667"/>
          </a:xfrm>
          <a:prstGeom prst="line">
            <a:avLst/>
          </a:prstGeom>
          <a:ln w="2540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B89A9771-4C51-4412-9E0E-99293D2E8C5C}"/>
              </a:ext>
            </a:extLst>
          </xdr:cNvPr>
          <xdr:cNvSpPr txBox="1"/>
        </xdr:nvSpPr>
        <xdr:spPr>
          <a:xfrm>
            <a:off x="3565436" y="3375856"/>
            <a:ext cx="611717" cy="2751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>
                <a:solidFill>
                  <a:srgbClr val="7030A0"/>
                </a:solidFill>
              </a:rPr>
              <a:t>Water</a:t>
            </a:r>
          </a:p>
        </xdr:txBody>
      </xdr:sp>
    </xdr:grpSp>
    <xdr:clientData/>
  </xdr:twoCellAnchor>
  <xdr:twoCellAnchor>
    <xdr:from>
      <xdr:col>2</xdr:col>
      <xdr:colOff>2631018</xdr:colOff>
      <xdr:row>18</xdr:row>
      <xdr:rowOff>69851</xdr:rowOff>
    </xdr:from>
    <xdr:to>
      <xdr:col>5</xdr:col>
      <xdr:colOff>792691</xdr:colOff>
      <xdr:row>30</xdr:row>
      <xdr:rowOff>134409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B3E0CDB-ED75-4C40-9EEF-F84DF8A61708}"/>
            </a:ext>
          </a:extLst>
        </xdr:cNvPr>
        <xdr:cNvGrpSpPr/>
      </xdr:nvGrpSpPr>
      <xdr:grpSpPr>
        <a:xfrm>
          <a:off x="3213101" y="3368676"/>
          <a:ext cx="2169582" cy="2226733"/>
          <a:chOff x="3183437" y="3369734"/>
          <a:chExt cx="2182282" cy="2223558"/>
        </a:xfrm>
      </xdr:grpSpPr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B75CB701-31B1-470C-8DB0-1FE593132C83}"/>
              </a:ext>
            </a:extLst>
          </xdr:cNvPr>
          <xdr:cNvCxnSpPr/>
        </xdr:nvCxnSpPr>
        <xdr:spPr>
          <a:xfrm>
            <a:off x="3183437" y="3369734"/>
            <a:ext cx="2182282" cy="2223558"/>
          </a:xfrm>
          <a:prstGeom prst="line">
            <a:avLst/>
          </a:prstGeom>
          <a:ln w="25400">
            <a:solidFill>
              <a:srgbClr val="00B0F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9AB442AE-DEC1-4015-B92E-17CD2D52CEAA}"/>
              </a:ext>
            </a:extLst>
          </xdr:cNvPr>
          <xdr:cNvSpPr txBox="1"/>
        </xdr:nvSpPr>
        <xdr:spPr>
          <a:xfrm>
            <a:off x="4434777" y="4535097"/>
            <a:ext cx="615565" cy="2743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>
                <a:solidFill>
                  <a:srgbClr val="00B0F0"/>
                </a:solidFill>
              </a:rPr>
              <a:t>Land</a:t>
            </a:r>
          </a:p>
        </xdr:txBody>
      </xdr:sp>
    </xdr:grpSp>
    <xdr:clientData/>
  </xdr:twoCellAnchor>
  <xdr:twoCellAnchor>
    <xdr:from>
      <xdr:col>4</xdr:col>
      <xdr:colOff>151342</xdr:colOff>
      <xdr:row>18</xdr:row>
      <xdr:rowOff>60326</xdr:rowOff>
    </xdr:from>
    <xdr:to>
      <xdr:col>6</xdr:col>
      <xdr:colOff>332991</xdr:colOff>
      <xdr:row>30</xdr:row>
      <xdr:rowOff>127000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5B3B8471-E891-4C33-A14D-DFC3C26E77E8}"/>
            </a:ext>
          </a:extLst>
        </xdr:cNvPr>
        <xdr:cNvGrpSpPr/>
      </xdr:nvGrpSpPr>
      <xdr:grpSpPr>
        <a:xfrm>
          <a:off x="4278842" y="3365501"/>
          <a:ext cx="1460116" cy="2219324"/>
          <a:chOff x="3396681" y="3507602"/>
          <a:chExt cx="1462323" cy="2216178"/>
        </a:xfrm>
      </xdr:grpSpPr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80C94B5A-74AE-45C0-9FE5-4938C4CE8F2F}"/>
              </a:ext>
            </a:extLst>
          </xdr:cNvPr>
          <xdr:cNvCxnSpPr/>
        </xdr:nvCxnSpPr>
        <xdr:spPr>
          <a:xfrm>
            <a:off x="3396681" y="3507602"/>
            <a:ext cx="1462323" cy="2216178"/>
          </a:xfrm>
          <a:prstGeom prst="line">
            <a:avLst/>
          </a:prstGeom>
          <a:ln w="25400">
            <a:solidFill>
              <a:schemeClr val="accent4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FD837080-787E-4797-8530-6FF2BE2489AF}"/>
              </a:ext>
            </a:extLst>
          </xdr:cNvPr>
          <xdr:cNvSpPr txBox="1"/>
        </xdr:nvSpPr>
        <xdr:spPr>
          <a:xfrm>
            <a:off x="3738921" y="3996883"/>
            <a:ext cx="615565" cy="2743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>
                <a:solidFill>
                  <a:schemeClr val="accent4">
                    <a:lumMod val="75000"/>
                  </a:schemeClr>
                </a:solidFill>
              </a:rPr>
              <a:t>Labor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2C57-936C-4A64-A856-164298754A22}">
  <dimension ref="A1:J17"/>
  <sheetViews>
    <sheetView zoomScale="160" zoomScaleNormal="160" workbookViewId="0"/>
  </sheetViews>
  <sheetFormatPr defaultRowHeight="14.5" x14ac:dyDescent="0.35"/>
  <cols>
    <col min="1" max="1" width="10.1796875" customWidth="1"/>
    <col min="5" max="5" width="10" customWidth="1"/>
    <col min="6" max="6" width="13" customWidth="1"/>
    <col min="7" max="7" width="8.26953125" customWidth="1"/>
    <col min="8" max="8" width="2" customWidth="1"/>
    <col min="9" max="9" width="6.90625" customWidth="1"/>
    <col min="10" max="10" width="13.81640625" customWidth="1"/>
  </cols>
  <sheetData>
    <row r="1" spans="1:10" x14ac:dyDescent="0.35">
      <c r="A1" s="1" t="s">
        <v>0</v>
      </c>
    </row>
    <row r="3" spans="1:10" ht="15" x14ac:dyDescent="0.35">
      <c r="A3" s="3" t="s">
        <v>13</v>
      </c>
    </row>
    <row r="4" spans="1:10" ht="15.5" x14ac:dyDescent="0.35">
      <c r="A4" s="2" t="s">
        <v>9</v>
      </c>
    </row>
    <row r="5" spans="1:10" ht="15.5" x14ac:dyDescent="0.35">
      <c r="A5" s="2" t="s">
        <v>10</v>
      </c>
    </row>
    <row r="6" spans="1:10" ht="15.5" x14ac:dyDescent="0.35">
      <c r="A6" s="2" t="s">
        <v>11</v>
      </c>
    </row>
    <row r="8" spans="1:10" x14ac:dyDescent="0.35">
      <c r="A8" s="4" t="s">
        <v>14</v>
      </c>
    </row>
    <row r="10" spans="1:10" x14ac:dyDescent="0.35">
      <c r="A10" t="s">
        <v>21</v>
      </c>
    </row>
    <row r="11" spans="1:10" x14ac:dyDescent="0.35">
      <c r="A11" t="s">
        <v>15</v>
      </c>
    </row>
    <row r="12" spans="1:10" x14ac:dyDescent="0.35">
      <c r="A12" t="s">
        <v>16</v>
      </c>
    </row>
    <row r="14" spans="1:10" s="5" customFormat="1" ht="30" customHeight="1" x14ac:dyDescent="0.35">
      <c r="A14" s="6" t="s">
        <v>12</v>
      </c>
      <c r="B14" s="6" t="s">
        <v>1</v>
      </c>
      <c r="C14" s="6" t="s">
        <v>2</v>
      </c>
      <c r="D14" s="6" t="s">
        <v>3</v>
      </c>
      <c r="E14" s="6" t="s">
        <v>4</v>
      </c>
      <c r="F14" s="6" t="s">
        <v>17</v>
      </c>
      <c r="G14" s="7" t="s">
        <v>18</v>
      </c>
      <c r="H14" s="6"/>
      <c r="I14" s="7" t="s">
        <v>19</v>
      </c>
      <c r="J14" s="6" t="s">
        <v>20</v>
      </c>
    </row>
    <row r="15" spans="1:10" x14ac:dyDescent="0.35">
      <c r="A15" s="8" t="s">
        <v>5</v>
      </c>
      <c r="B15" s="9" t="s">
        <v>8</v>
      </c>
      <c r="C15" s="10">
        <v>4000000</v>
      </c>
      <c r="D15" s="10">
        <v>4000000</v>
      </c>
      <c r="E15" s="8">
        <v>2E-3</v>
      </c>
      <c r="F15" s="11">
        <f>4000000-3900000</f>
        <v>100000</v>
      </c>
      <c r="G15" s="12">
        <f>F15*E15</f>
        <v>200</v>
      </c>
      <c r="H15" s="8"/>
      <c r="I15" s="13">
        <f>D15-C15</f>
        <v>0</v>
      </c>
      <c r="J15" s="8"/>
    </row>
    <row r="16" spans="1:10" x14ac:dyDescent="0.35">
      <c r="A16" s="8" t="s">
        <v>6</v>
      </c>
      <c r="B16" s="9" t="s">
        <v>8</v>
      </c>
      <c r="C16" s="8">
        <v>12000</v>
      </c>
      <c r="D16" s="8">
        <v>12000</v>
      </c>
      <c r="E16" s="8">
        <v>1</v>
      </c>
      <c r="F16" s="8">
        <f>12000-11900</f>
        <v>100</v>
      </c>
      <c r="G16" s="12">
        <f t="shared" ref="G16:G17" si="0">F16*E16</f>
        <v>100</v>
      </c>
      <c r="H16" s="8"/>
      <c r="I16" s="13">
        <f t="shared" ref="I16:I17" si="1">D16-C16</f>
        <v>0</v>
      </c>
      <c r="J16" s="8"/>
    </row>
    <row r="17" spans="1:10" x14ac:dyDescent="0.35">
      <c r="A17" s="8" t="s">
        <v>7</v>
      </c>
      <c r="B17" s="9" t="s">
        <v>8</v>
      </c>
      <c r="C17" s="8">
        <v>14000</v>
      </c>
      <c r="D17" s="8">
        <v>17500</v>
      </c>
      <c r="E17" s="8">
        <v>0</v>
      </c>
      <c r="F17" s="8">
        <f>17500-17000</f>
        <v>500</v>
      </c>
      <c r="G17" s="12">
        <f t="shared" si="0"/>
        <v>0</v>
      </c>
      <c r="H17" s="8"/>
      <c r="I17" s="14">
        <f t="shared" si="1"/>
        <v>3500</v>
      </c>
      <c r="J1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3E6C-FFC2-4894-AB55-34B348D6C9C4}">
  <dimension ref="A1:H17"/>
  <sheetViews>
    <sheetView showGridLines="0" tabSelected="1" topLeftCell="B14" zoomScale="180" zoomScaleNormal="180" workbookViewId="0">
      <selection activeCell="J19" sqref="J19:L26"/>
    </sheetView>
  </sheetViews>
  <sheetFormatPr defaultRowHeight="14.5" x14ac:dyDescent="0.35"/>
  <cols>
    <col min="1" max="1" width="2.1796875" customWidth="1"/>
    <col min="2" max="2" width="6.08984375" bestFit="1" customWidth="1"/>
    <col min="3" max="3" width="41" customWidth="1"/>
    <col min="4" max="4" width="9.6328125" customWidth="1"/>
    <col min="5" max="5" width="6.7265625" customWidth="1"/>
    <col min="6" max="6" width="11.54296875" customWidth="1"/>
    <col min="7" max="7" width="9.90625" customWidth="1"/>
    <col min="8" max="8" width="9.6328125" customWidth="1"/>
  </cols>
  <sheetData>
    <row r="1" spans="1:8" x14ac:dyDescent="0.35">
      <c r="A1" s="1" t="s">
        <v>22</v>
      </c>
    </row>
    <row r="2" spans="1:8" x14ac:dyDescent="0.35">
      <c r="A2" s="1" t="s">
        <v>23</v>
      </c>
    </row>
    <row r="3" spans="1:8" x14ac:dyDescent="0.35">
      <c r="A3" s="1" t="s">
        <v>24</v>
      </c>
    </row>
    <row r="6" spans="1:8" ht="15" thickBot="1" x14ac:dyDescent="0.4">
      <c r="A6" t="s">
        <v>25</v>
      </c>
    </row>
    <row r="7" spans="1:8" x14ac:dyDescent="0.35">
      <c r="B7" s="15"/>
      <c r="C7" s="15"/>
      <c r="D7" s="15" t="s">
        <v>26</v>
      </c>
      <c r="E7" s="15" t="s">
        <v>27</v>
      </c>
      <c r="F7" s="15" t="s">
        <v>28</v>
      </c>
      <c r="G7" s="15" t="s">
        <v>29</v>
      </c>
      <c r="H7" s="15" t="s">
        <v>29</v>
      </c>
    </row>
    <row r="8" spans="1:8" ht="15" thickBot="1" x14ac:dyDescent="0.4">
      <c r="B8" s="16" t="s">
        <v>30</v>
      </c>
      <c r="C8" s="16" t="s">
        <v>31</v>
      </c>
      <c r="D8" s="16" t="s">
        <v>32</v>
      </c>
      <c r="E8" s="16" t="s">
        <v>33</v>
      </c>
      <c r="F8" s="16" t="s">
        <v>34</v>
      </c>
      <c r="G8" s="16" t="s">
        <v>35</v>
      </c>
      <c r="H8" s="16" t="s">
        <v>36</v>
      </c>
    </row>
    <row r="9" spans="1:8" x14ac:dyDescent="0.35">
      <c r="B9" s="17" t="s">
        <v>37</v>
      </c>
      <c r="C9" s="17" t="s">
        <v>38</v>
      </c>
      <c r="D9" s="17">
        <v>2400</v>
      </c>
      <c r="E9" s="17">
        <v>0</v>
      </c>
      <c r="F9" s="17">
        <v>6</v>
      </c>
      <c r="G9" s="17">
        <v>3.333333333333333</v>
      </c>
      <c r="H9" s="17">
        <v>2.5</v>
      </c>
    </row>
    <row r="10" spans="1:8" ht="15" thickBot="1" x14ac:dyDescent="0.4">
      <c r="B10" s="18" t="s">
        <v>39</v>
      </c>
      <c r="C10" s="18" t="s">
        <v>40</v>
      </c>
      <c r="D10" s="18">
        <v>800</v>
      </c>
      <c r="E10" s="18">
        <v>0</v>
      </c>
      <c r="F10" s="18">
        <v>7</v>
      </c>
      <c r="G10" s="18">
        <v>5</v>
      </c>
      <c r="H10" s="18">
        <v>2.5</v>
      </c>
    </row>
    <row r="12" spans="1:8" ht="15" thickBot="1" x14ac:dyDescent="0.4">
      <c r="A12" t="s">
        <v>41</v>
      </c>
    </row>
    <row r="13" spans="1:8" x14ac:dyDescent="0.35">
      <c r="B13" s="15"/>
      <c r="C13" s="15"/>
      <c r="D13" s="15" t="s">
        <v>26</v>
      </c>
      <c r="E13" s="15" t="s">
        <v>42</v>
      </c>
      <c r="F13" s="15" t="s">
        <v>12</v>
      </c>
      <c r="G13" s="15" t="s">
        <v>29</v>
      </c>
      <c r="H13" s="15" t="s">
        <v>29</v>
      </c>
    </row>
    <row r="14" spans="1:8" ht="15" thickBot="1" x14ac:dyDescent="0.4">
      <c r="B14" s="16" t="s">
        <v>30</v>
      </c>
      <c r="C14" s="16" t="s">
        <v>31</v>
      </c>
      <c r="D14" s="16" t="s">
        <v>32</v>
      </c>
      <c r="E14" s="16" t="s">
        <v>43</v>
      </c>
      <c r="F14" s="16" t="s">
        <v>44</v>
      </c>
      <c r="G14" s="16" t="s">
        <v>35</v>
      </c>
      <c r="H14" s="16" t="s">
        <v>36</v>
      </c>
    </row>
    <row r="15" spans="1:8" x14ac:dyDescent="0.35">
      <c r="B15" s="17" t="s">
        <v>45</v>
      </c>
      <c r="C15" s="17" t="s">
        <v>46</v>
      </c>
      <c r="D15" s="19">
        <v>4000000</v>
      </c>
      <c r="E15" s="20">
        <v>2E-3</v>
      </c>
      <c r="F15" s="19">
        <v>4000000</v>
      </c>
      <c r="G15" s="19">
        <v>3999999.9999999995</v>
      </c>
      <c r="H15" s="19">
        <v>1000000</v>
      </c>
    </row>
    <row r="16" spans="1:8" x14ac:dyDescent="0.35">
      <c r="B16" s="17" t="s">
        <v>47</v>
      </c>
      <c r="C16" s="17" t="s">
        <v>48</v>
      </c>
      <c r="D16" s="19">
        <v>12000</v>
      </c>
      <c r="E16" s="19">
        <v>1</v>
      </c>
      <c r="F16" s="19">
        <v>12000</v>
      </c>
      <c r="G16" s="19">
        <v>2333.3333333333335</v>
      </c>
      <c r="H16" s="19">
        <v>6000</v>
      </c>
    </row>
    <row r="17" spans="2:8" ht="15" thickBot="1" x14ac:dyDescent="0.4">
      <c r="B17" s="18" t="s">
        <v>49</v>
      </c>
      <c r="C17" s="18" t="s">
        <v>50</v>
      </c>
      <c r="D17" s="21">
        <v>14000</v>
      </c>
      <c r="E17" s="22">
        <v>0</v>
      </c>
      <c r="F17" s="21">
        <v>17500</v>
      </c>
      <c r="G17" s="23">
        <v>1E+30</v>
      </c>
      <c r="H17" s="21">
        <v>3500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Example1</vt:lpstr>
      <vt:lpstr>Sensitivity Report Ex2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2020-09-22T21:57:00Z</dcterms:created>
  <dcterms:modified xsi:type="dcterms:W3CDTF">2020-09-22T22:51:08Z</dcterms:modified>
</cp:coreProperties>
</file>